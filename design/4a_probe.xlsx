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e_psp1_reg_corr" sheetId="1" r:id="rId4"/>
  </sheets>
  <definedNames/>
  <calcPr/>
  <extLst>
    <ext uri="GoogleSheetsCustomDataVersion2">
      <go:sheetsCustomData xmlns:go="http://customooxmlschemas.google.com/" r:id="rId5" roundtripDataChecksum="yGQTFH0nu++x+DzMukjuo2fnSvLNl1ep+FBp3kHGEnw="/>
    </ext>
  </extLst>
</workbook>
</file>

<file path=xl/sharedStrings.xml><?xml version="1.0" encoding="utf-8"?>
<sst xmlns="http://schemas.openxmlformats.org/spreadsheetml/2006/main" count="111" uniqueCount="51">
  <si>
    <t>Valores a capturar</t>
  </si>
  <si>
    <t>VS</t>
  </si>
  <si>
    <t>Very small</t>
  </si>
  <si>
    <t xml:space="preserve"> (métodos, no clases)</t>
  </si>
  <si>
    <t>Calculate the types with Fuzzy Logic Method</t>
  </si>
  <si>
    <t>VL</t>
  </si>
  <si>
    <t>Very large</t>
  </si>
  <si>
    <t>Calculation</t>
  </si>
  <si>
    <t>Cálculos matemáticos</t>
  </si>
  <si>
    <t>Data</t>
  </si>
  <si>
    <t>Base de datos</t>
  </si>
  <si>
    <t>LOCs</t>
  </si>
  <si>
    <t>Log</t>
  </si>
  <si>
    <t>Factor</t>
  </si>
  <si>
    <t>S</t>
  </si>
  <si>
    <t>M</t>
  </si>
  <si>
    <t>L</t>
  </si>
  <si>
    <t>IO</t>
  </si>
  <si>
    <t>Lectura y escritura</t>
  </si>
  <si>
    <t>Logic</t>
  </si>
  <si>
    <t>Estructura lógica principal</t>
  </si>
  <si>
    <t>Estimated Size, REUSE</t>
  </si>
  <si>
    <t>Object</t>
  </si>
  <si>
    <t>Description</t>
  </si>
  <si>
    <t>Size</t>
  </si>
  <si>
    <t>Number</t>
  </si>
  <si>
    <t>LOC</t>
  </si>
  <si>
    <t>Total</t>
  </si>
  <si>
    <t>App</t>
  </si>
  <si>
    <t>main</t>
  </si>
  <si>
    <t>Output</t>
  </si>
  <si>
    <t>writeData</t>
  </si>
  <si>
    <t>Reuse TOTAL LOC</t>
  </si>
  <si>
    <t>Estimated Size, BASE</t>
  </si>
  <si>
    <t>logic1a</t>
  </si>
  <si>
    <t>Base TOTAL LOC</t>
  </si>
  <si>
    <t>Estimated Size, ADD</t>
  </si>
  <si>
    <t>SimpsonIntegration</t>
  </si>
  <si>
    <t>computeW</t>
  </si>
  <si>
    <t>computeXi</t>
  </si>
  <si>
    <t>computeFirstBaseTerms</t>
  </si>
  <si>
    <t>computeExponent</t>
  </si>
  <si>
    <t>computeCoefficient</t>
  </si>
  <si>
    <t>computeFxi</t>
  </si>
  <si>
    <t>computeFinalTerms</t>
  </si>
  <si>
    <t>computeFinalValue</t>
  </si>
  <si>
    <t>GammaFunction</t>
  </si>
  <si>
    <t>computeIntegerGamma</t>
  </si>
  <si>
    <t>computeRealGamma</t>
  </si>
  <si>
    <t>TOTAL LOC estimated</t>
  </si>
  <si>
    <t>TOTAL LOC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</si>
</sst>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DD0806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0"/>
      <name val="Arial"/>
    </font>
    <font>
      <sz val="10.0"/>
      <color theme="0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DD0806"/>
        <bgColor rgb="FFDD0806"/>
      </patternFill>
    </fill>
    <fill>
      <patternFill patternType="solid">
        <fgColor theme="4"/>
        <bgColor theme="4"/>
      </patternFill>
    </fill>
    <fill>
      <patternFill patternType="solid">
        <fgColor rgb="FF4F6128"/>
        <bgColor rgb="FF4F6128"/>
      </patternFill>
    </fill>
    <fill>
      <patternFill patternType="solid">
        <fgColor rgb="FFFFFF00"/>
        <bgColor rgb="FFFFFF00"/>
      </patternFill>
    </fill>
    <fill>
      <patternFill patternType="solid">
        <fgColor rgb="FF0000D4"/>
        <bgColor rgb="FF0000D4"/>
      </patternFill>
    </fill>
    <fill>
      <patternFill patternType="solid">
        <fgColor rgb="FF0000FF"/>
        <bgColor rgb="FF0000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6" fillId="4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3" fontId="6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2" fontId="4" numFmtId="0" xfId="0" applyAlignment="1" applyBorder="1" applyFont="1">
      <alignment readingOrder="0" shrinkToFit="0" vertical="bottom" wrapText="0"/>
    </xf>
    <xf borderId="8" fillId="3" fontId="5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8" fillId="2" fontId="6" numFmtId="0" xfId="0" applyAlignment="1" applyBorder="1" applyFont="1">
      <alignment shrinkToFit="0" vertical="bottom" wrapText="0"/>
    </xf>
    <xf borderId="8" fillId="3" fontId="6" numFmtId="0" xfId="0" applyAlignment="1" applyBorder="1" applyFont="1">
      <alignment shrinkToFit="0" vertical="bottom" wrapText="0"/>
    </xf>
    <xf borderId="10" fillId="5" fontId="1" numFmtId="0" xfId="0" applyAlignment="1" applyBorder="1" applyFill="1" applyFont="1">
      <alignment horizontal="center" shrinkToFit="0" vertical="bottom" wrapText="0"/>
    </xf>
    <xf borderId="11" fillId="0" fontId="7" numFmtId="0" xfId="0" applyBorder="1" applyFont="1"/>
    <xf borderId="1" fillId="6" fontId="4" numFmtId="0" xfId="0" applyAlignment="1" applyBorder="1" applyFill="1" applyFont="1">
      <alignment shrinkToFit="0" vertical="bottom" wrapText="0"/>
    </xf>
    <xf borderId="1" fillId="5" fontId="1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2" fillId="5" fontId="1" numFmtId="0" xfId="0" applyAlignment="1" applyBorder="1" applyFont="1">
      <alignment horizontal="center" shrinkToFit="0" vertical="bottom" wrapText="0"/>
    </xf>
    <xf borderId="13" fillId="0" fontId="7" numFmtId="0" xfId="0" applyBorder="1" applyFont="1"/>
    <xf borderId="14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2" fillId="6" fontId="4" numFmtId="0" xfId="0" applyAlignment="1" applyBorder="1" applyFont="1">
      <alignment shrinkToFit="0" vertical="bottom" wrapText="0"/>
    </xf>
    <xf borderId="3" fillId="6" fontId="4" numFmtId="0" xfId="0" applyAlignment="1" applyBorder="1" applyFont="1">
      <alignment shrinkToFit="0" vertical="bottom" wrapText="0"/>
    </xf>
    <xf borderId="4" fillId="6" fontId="4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5" fontId="1" numFmtId="0" xfId="0" applyAlignment="1" applyBorder="1" applyFont="1">
      <alignment shrinkToFit="0" vertical="bottom" wrapText="0"/>
    </xf>
    <xf borderId="9" fillId="5" fontId="1" numFmtId="0" xfId="0" applyAlignment="1" applyBorder="1" applyFont="1">
      <alignment shrinkToFit="0" vertical="bottom" wrapText="0"/>
    </xf>
    <xf borderId="18" fillId="5" fontId="1" numFmtId="0" xfId="0" applyAlignment="1" applyBorder="1" applyFont="1">
      <alignment horizontal="center" shrinkToFit="0" vertical="bottom" wrapText="0"/>
    </xf>
    <xf borderId="14" fillId="0" fontId="7" numFmtId="0" xfId="0" applyBorder="1" applyFont="1"/>
    <xf borderId="5" fillId="6" fontId="4" numFmtId="0" xfId="0" applyAlignment="1" applyBorder="1" applyFont="1">
      <alignment shrinkToFit="0" vertical="bottom" wrapText="0"/>
    </xf>
    <xf borderId="6" fillId="6" fontId="4" numFmtId="0" xfId="0" applyAlignment="1" applyBorder="1" applyFon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7" fontId="6" numFmtId="0" xfId="0" applyAlignment="1" applyBorder="1" applyFill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32.0"/>
    <col customWidth="1" min="3" max="3" width="17.0"/>
    <col customWidth="1" min="4" max="4" width="10.0"/>
    <col customWidth="1" min="5" max="5" width="18.88"/>
    <col customWidth="1" min="6" max="6" width="10.0"/>
    <col customWidth="1" min="7" max="7" width="20.13"/>
    <col customWidth="1" min="8" max="12" width="10.0"/>
    <col customWidth="1" min="13" max="13" width="17.0"/>
    <col customWidth="1" min="14" max="26" width="10.0"/>
  </cols>
  <sheetData>
    <row r="1" ht="12.75" customHeight="1"/>
    <row r="2" ht="12.75" customHeight="1">
      <c r="C2" s="1" t="s">
        <v>0</v>
      </c>
      <c r="D2" s="2"/>
      <c r="K2" s="3" t="s">
        <v>1</v>
      </c>
      <c r="L2" s="3" t="s">
        <v>2</v>
      </c>
      <c r="M2" s="3" t="s">
        <v>3</v>
      </c>
    </row>
    <row r="3" ht="12.75" customHeight="1">
      <c r="A3" s="4" t="s">
        <v>4</v>
      </c>
      <c r="K3" s="3" t="s">
        <v>5</v>
      </c>
      <c r="L3" s="3" t="s">
        <v>6</v>
      </c>
      <c r="M3" s="3"/>
    </row>
    <row r="4" ht="13.5" customHeight="1">
      <c r="A4" s="5"/>
    </row>
    <row r="5" ht="12.75" customHeight="1">
      <c r="A5" s="6" t="s">
        <v>7</v>
      </c>
      <c r="B5" s="7" t="s">
        <v>8</v>
      </c>
      <c r="C5" s="8"/>
      <c r="D5" s="9"/>
      <c r="F5" s="6" t="s">
        <v>9</v>
      </c>
      <c r="G5" s="7" t="s">
        <v>10</v>
      </c>
      <c r="H5" s="8"/>
      <c r="I5" s="9"/>
    </row>
    <row r="6" ht="12.75" customHeight="1">
      <c r="A6" s="10"/>
      <c r="B6" s="11" t="s">
        <v>11</v>
      </c>
      <c r="C6" s="11" t="s">
        <v>12</v>
      </c>
      <c r="D6" s="12" t="s">
        <v>13</v>
      </c>
      <c r="F6" s="10"/>
      <c r="G6" s="11" t="s">
        <v>11</v>
      </c>
      <c r="H6" s="11" t="s">
        <v>12</v>
      </c>
      <c r="I6" s="12" t="s">
        <v>13</v>
      </c>
    </row>
    <row r="7" ht="12.75" customHeight="1">
      <c r="A7" s="13" t="s">
        <v>1</v>
      </c>
      <c r="B7" s="14">
        <v>10.0</v>
      </c>
      <c r="C7" s="15">
        <f>LOG10(B7)</f>
        <v>1</v>
      </c>
      <c r="D7" s="16">
        <f>(C11-C7)/4</f>
        <v>0.1747425011</v>
      </c>
      <c r="F7" s="13" t="s">
        <v>1</v>
      </c>
      <c r="G7" s="17">
        <v>3.0</v>
      </c>
      <c r="H7" s="18">
        <f>LOG10(G7)</f>
        <v>0.4771212547</v>
      </c>
      <c r="I7" s="16">
        <f>(H11-H7)/4</f>
        <v>0.2344630233</v>
      </c>
    </row>
    <row r="8" ht="12.75" customHeight="1">
      <c r="A8" s="13" t="s">
        <v>14</v>
      </c>
      <c r="B8" s="11">
        <f t="shared" ref="B8:B10" si="1">10^C8</f>
        <v>14.95348781</v>
      </c>
      <c r="C8" s="11">
        <f>C7+D7</f>
        <v>1.174742501</v>
      </c>
      <c r="D8" s="12"/>
      <c r="F8" s="13" t="s">
        <v>14</v>
      </c>
      <c r="G8" s="11">
        <f t="shared" ref="G8:G10" si="2">10^H8</f>
        <v>5.147356856</v>
      </c>
      <c r="H8" s="11">
        <f>H7+I7</f>
        <v>0.711584278</v>
      </c>
      <c r="I8" s="12"/>
    </row>
    <row r="9" ht="12.75" customHeight="1">
      <c r="A9" s="13" t="s">
        <v>15</v>
      </c>
      <c r="B9" s="11">
        <f t="shared" si="1"/>
        <v>22.36067977</v>
      </c>
      <c r="C9" s="11">
        <f>C8+D7</f>
        <v>1.349485002</v>
      </c>
      <c r="D9" s="12"/>
      <c r="F9" s="13" t="s">
        <v>15</v>
      </c>
      <c r="G9" s="11">
        <f t="shared" si="2"/>
        <v>8.831760866</v>
      </c>
      <c r="H9" s="11">
        <f>H8+I7</f>
        <v>0.9460473013</v>
      </c>
      <c r="I9" s="12"/>
    </row>
    <row r="10" ht="12.75" customHeight="1">
      <c r="A10" s="13" t="s">
        <v>16</v>
      </c>
      <c r="B10" s="11">
        <f t="shared" si="1"/>
        <v>33.43701525</v>
      </c>
      <c r="C10" s="11">
        <f>C9+D7</f>
        <v>1.524227503</v>
      </c>
      <c r="D10" s="12"/>
      <c r="F10" s="13" t="s">
        <v>16</v>
      </c>
      <c r="G10" s="11">
        <f t="shared" si="2"/>
        <v>15.15340828</v>
      </c>
      <c r="H10" s="11">
        <f>H9+I7</f>
        <v>1.180510325</v>
      </c>
      <c r="I10" s="12"/>
    </row>
    <row r="11" ht="13.5" customHeight="1">
      <c r="A11" s="19" t="s">
        <v>5</v>
      </c>
      <c r="B11" s="20">
        <v>50.0</v>
      </c>
      <c r="C11" s="21">
        <f>LOG10(B11)</f>
        <v>1.698970004</v>
      </c>
      <c r="D11" s="22"/>
      <c r="F11" s="19" t="s">
        <v>5</v>
      </c>
      <c r="G11" s="23">
        <v>26.0</v>
      </c>
      <c r="H11" s="24">
        <f>LOG10(G11)</f>
        <v>1.414973348</v>
      </c>
      <c r="I11" s="22"/>
    </row>
    <row r="12" ht="12.75" customHeight="1"/>
    <row r="13" ht="12.75" customHeight="1"/>
    <row r="14" ht="13.5" customHeight="1"/>
    <row r="15" ht="12.75" customHeight="1">
      <c r="A15" s="6" t="s">
        <v>17</v>
      </c>
      <c r="B15" s="7" t="s">
        <v>18</v>
      </c>
      <c r="C15" s="8"/>
      <c r="D15" s="9"/>
      <c r="F15" s="6" t="s">
        <v>19</v>
      </c>
      <c r="G15" s="7" t="s">
        <v>20</v>
      </c>
      <c r="H15" s="8"/>
      <c r="I15" s="9"/>
    </row>
    <row r="16" ht="12.75" customHeight="1">
      <c r="A16" s="10"/>
      <c r="B16" s="11" t="s">
        <v>11</v>
      </c>
      <c r="C16" s="11" t="s">
        <v>12</v>
      </c>
      <c r="D16" s="12" t="s">
        <v>13</v>
      </c>
      <c r="F16" s="10"/>
      <c r="G16" s="11" t="s">
        <v>11</v>
      </c>
      <c r="H16" s="11" t="s">
        <v>12</v>
      </c>
      <c r="I16" s="12" t="s">
        <v>13</v>
      </c>
    </row>
    <row r="17" ht="12.75" customHeight="1">
      <c r="A17" s="13" t="s">
        <v>1</v>
      </c>
      <c r="B17" s="14">
        <v>10.0</v>
      </c>
      <c r="C17" s="18">
        <f>LOG10(B17)</f>
        <v>1</v>
      </c>
      <c r="D17" s="16">
        <f>(C21-C17)/4</f>
        <v>0.05761223034</v>
      </c>
      <c r="F17" s="13" t="s">
        <v>1</v>
      </c>
      <c r="G17" s="14">
        <v>22.0</v>
      </c>
      <c r="H17" s="18">
        <f>LOG10(G17)</f>
        <v>1.342422681</v>
      </c>
      <c r="I17" s="16">
        <f>(H21-H17)/4</f>
        <v>0.1071073327</v>
      </c>
    </row>
    <row r="18" ht="12.75" customHeight="1">
      <c r="A18" s="13" t="s">
        <v>14</v>
      </c>
      <c r="B18" s="11">
        <f t="shared" ref="B18:B20" si="3">10^C18</f>
        <v>11.41858345</v>
      </c>
      <c r="C18" s="11">
        <f>C17+D17</f>
        <v>1.05761223</v>
      </c>
      <c r="D18" s="12"/>
      <c r="F18" s="13" t="s">
        <v>14</v>
      </c>
      <c r="G18" s="11">
        <f t="shared" ref="G18:G20" si="4">10^H18</f>
        <v>28.15334573</v>
      </c>
      <c r="H18" s="11">
        <f>H17+I17</f>
        <v>1.449530014</v>
      </c>
      <c r="I18" s="12"/>
    </row>
    <row r="19" ht="12.75" customHeight="1">
      <c r="A19" s="13" t="s">
        <v>15</v>
      </c>
      <c r="B19" s="11">
        <f t="shared" si="3"/>
        <v>13.03840481</v>
      </c>
      <c r="C19" s="11">
        <f>C18+D17</f>
        <v>1.115224461</v>
      </c>
      <c r="D19" s="12"/>
      <c r="F19" s="13" t="s">
        <v>15</v>
      </c>
      <c r="G19" s="11">
        <f t="shared" si="4"/>
        <v>36.02776707</v>
      </c>
      <c r="H19" s="11">
        <f>H18+I17</f>
        <v>1.556637346</v>
      </c>
      <c r="I19" s="12"/>
    </row>
    <row r="20" ht="12.75" customHeight="1">
      <c r="A20" s="13" t="s">
        <v>16</v>
      </c>
      <c r="B20" s="11">
        <f t="shared" si="3"/>
        <v>14.88801134</v>
      </c>
      <c r="C20" s="11">
        <f>C19+D17</f>
        <v>1.172836691</v>
      </c>
      <c r="D20" s="12"/>
      <c r="F20" s="13" t="s">
        <v>16</v>
      </c>
      <c r="G20" s="11">
        <f t="shared" si="4"/>
        <v>46.10464464</v>
      </c>
      <c r="H20" s="11">
        <f>H19+I17</f>
        <v>1.663744679</v>
      </c>
      <c r="I20" s="12"/>
    </row>
    <row r="21" ht="13.5" customHeight="1">
      <c r="A21" s="19" t="s">
        <v>5</v>
      </c>
      <c r="B21" s="20">
        <v>17.0</v>
      </c>
      <c r="C21" s="24">
        <f>LOG10(B21)</f>
        <v>1.230448921</v>
      </c>
      <c r="D21" s="22"/>
      <c r="F21" s="19" t="s">
        <v>5</v>
      </c>
      <c r="G21" s="20">
        <v>59.0</v>
      </c>
      <c r="H21" s="24">
        <f>LOG10(G21)</f>
        <v>1.770852012</v>
      </c>
      <c r="I21" s="22"/>
    </row>
    <row r="22" ht="12.75" customHeight="1"/>
    <row r="23" ht="12.75" customHeight="1">
      <c r="A23" s="25" t="s">
        <v>21</v>
      </c>
      <c r="B23" s="26"/>
      <c r="C23" s="11"/>
      <c r="D23" s="11"/>
      <c r="E23" s="11"/>
      <c r="F23" s="11"/>
    </row>
    <row r="24" ht="12.75" customHeight="1">
      <c r="A24" s="11"/>
      <c r="B24" s="11"/>
      <c r="C24" s="11"/>
      <c r="D24" s="11"/>
      <c r="E24" s="11"/>
      <c r="F24" s="11"/>
    </row>
    <row r="25" ht="12.75" customHeight="1">
      <c r="A25" s="27" t="s">
        <v>22</v>
      </c>
      <c r="B25" s="27" t="s">
        <v>23</v>
      </c>
      <c r="C25" s="27" t="s">
        <v>24</v>
      </c>
      <c r="D25" s="27" t="s">
        <v>25</v>
      </c>
      <c r="E25" s="27" t="s">
        <v>26</v>
      </c>
      <c r="F25" s="27" t="s">
        <v>27</v>
      </c>
    </row>
    <row r="26" ht="12.75" customHeight="1">
      <c r="A26" s="11" t="s">
        <v>28</v>
      </c>
      <c r="B26" s="11" t="s">
        <v>29</v>
      </c>
      <c r="C26" s="11" t="s">
        <v>1</v>
      </c>
      <c r="D26" s="11">
        <v>1.0</v>
      </c>
      <c r="E26" s="11">
        <f>G17</f>
        <v>22</v>
      </c>
      <c r="F26" s="11">
        <f t="shared" ref="F26:F27" si="5">E26*D26</f>
        <v>22</v>
      </c>
    </row>
    <row r="27" ht="12.75" customHeight="1">
      <c r="A27" s="11" t="s">
        <v>30</v>
      </c>
      <c r="B27" s="11" t="s">
        <v>31</v>
      </c>
      <c r="C27" s="11" t="s">
        <v>14</v>
      </c>
      <c r="D27" s="11">
        <v>1.0</v>
      </c>
      <c r="E27" s="11">
        <f>B18</f>
        <v>11.41858345</v>
      </c>
      <c r="F27" s="11">
        <f t="shared" si="5"/>
        <v>11.41858345</v>
      </c>
    </row>
    <row r="28" ht="12.75" customHeight="1">
      <c r="A28" s="11"/>
      <c r="B28" s="11"/>
      <c r="C28" s="11"/>
      <c r="D28" s="11"/>
      <c r="E28" s="28" t="s">
        <v>32</v>
      </c>
      <c r="F28" s="28">
        <f>SUM(F26:F27)</f>
        <v>33.41858345</v>
      </c>
    </row>
    <row r="29" ht="13.5" customHeight="1">
      <c r="A29" s="29"/>
      <c r="B29" s="29"/>
      <c r="C29" s="29"/>
      <c r="D29" s="29"/>
      <c r="E29" s="29"/>
      <c r="F29" s="29"/>
    </row>
    <row r="30" ht="13.5" customHeight="1">
      <c r="A30" s="30" t="s">
        <v>33</v>
      </c>
      <c r="B30" s="31"/>
      <c r="C30" s="32"/>
      <c r="D30" s="8"/>
      <c r="E30" s="8"/>
      <c r="F30" s="8"/>
    </row>
    <row r="31" ht="13.5" customHeight="1">
      <c r="A31" s="33"/>
      <c r="B31" s="34"/>
      <c r="C31" s="35"/>
      <c r="D31" s="35"/>
      <c r="E31" s="35"/>
      <c r="F31" s="35"/>
    </row>
    <row r="32" ht="12.75" customHeight="1">
      <c r="A32" s="36" t="s">
        <v>22</v>
      </c>
      <c r="B32" s="37" t="s">
        <v>23</v>
      </c>
      <c r="C32" s="37" t="s">
        <v>24</v>
      </c>
      <c r="D32" s="37" t="s">
        <v>25</v>
      </c>
      <c r="E32" s="37" t="s">
        <v>26</v>
      </c>
      <c r="F32" s="38" t="s">
        <v>27</v>
      </c>
    </row>
    <row r="33" ht="12.75" customHeight="1">
      <c r="A33" s="13" t="s">
        <v>19</v>
      </c>
      <c r="B33" s="11" t="s">
        <v>34</v>
      </c>
      <c r="C33" s="11" t="s">
        <v>16</v>
      </c>
      <c r="D33" s="11">
        <v>1.0</v>
      </c>
      <c r="E33" s="11">
        <f>G20</f>
        <v>46.10464464</v>
      </c>
      <c r="F33" s="12">
        <f>D33*E33</f>
        <v>46.10464464</v>
      </c>
    </row>
    <row r="34" ht="13.5" customHeight="1">
      <c r="A34" s="19"/>
      <c r="B34" s="39"/>
      <c r="C34" s="39"/>
      <c r="D34" s="39"/>
      <c r="E34" s="40" t="s">
        <v>35</v>
      </c>
      <c r="F34" s="41">
        <f>SUM(F33)</f>
        <v>46.10464464</v>
      </c>
    </row>
    <row r="35" ht="13.5" customHeight="1"/>
    <row r="36" ht="12.75" customHeight="1">
      <c r="A36" s="42" t="s">
        <v>36</v>
      </c>
      <c r="B36" s="43"/>
      <c r="C36" s="8"/>
      <c r="D36" s="8"/>
      <c r="E36" s="8"/>
      <c r="F36" s="9"/>
    </row>
    <row r="37" ht="12.75" customHeight="1">
      <c r="A37" s="13"/>
      <c r="B37" s="11"/>
      <c r="C37" s="11"/>
      <c r="D37" s="11"/>
      <c r="E37" s="11"/>
      <c r="F37" s="12"/>
    </row>
    <row r="38" ht="12.75" customHeight="1">
      <c r="A38" s="44" t="s">
        <v>22</v>
      </c>
      <c r="B38" s="27" t="s">
        <v>23</v>
      </c>
      <c r="C38" s="27" t="s">
        <v>24</v>
      </c>
      <c r="D38" s="27" t="s">
        <v>25</v>
      </c>
      <c r="E38" s="27" t="s">
        <v>26</v>
      </c>
      <c r="F38" s="45" t="s">
        <v>27</v>
      </c>
    </row>
    <row r="39" ht="12.75" customHeight="1">
      <c r="A39" s="46" t="s">
        <v>37</v>
      </c>
      <c r="B39" s="35" t="s">
        <v>38</v>
      </c>
      <c r="C39" s="35" t="s">
        <v>15</v>
      </c>
      <c r="D39" s="35">
        <v>1.0</v>
      </c>
      <c r="E39" s="35">
        <f t="shared" ref="E39:E45" si="6">$B$9</f>
        <v>22.36067977</v>
      </c>
      <c r="F39" s="47">
        <f t="shared" ref="F39:F49" si="7">D39*E39</f>
        <v>22.36067977</v>
      </c>
    </row>
    <row r="40" ht="12.75" customHeight="1">
      <c r="A40" s="46" t="s">
        <v>37</v>
      </c>
      <c r="B40" s="35" t="s">
        <v>39</v>
      </c>
      <c r="C40" s="35" t="s">
        <v>15</v>
      </c>
      <c r="D40" s="35">
        <v>1.0</v>
      </c>
      <c r="E40" s="35">
        <f t="shared" si="6"/>
        <v>22.36067977</v>
      </c>
      <c r="F40" s="47">
        <f t="shared" si="7"/>
        <v>22.36067977</v>
      </c>
    </row>
    <row r="41" ht="12.75" customHeight="1">
      <c r="A41" s="46" t="s">
        <v>37</v>
      </c>
      <c r="B41" s="35" t="s">
        <v>40</v>
      </c>
      <c r="C41" s="35" t="s">
        <v>15</v>
      </c>
      <c r="D41" s="35">
        <v>1.0</v>
      </c>
      <c r="E41" s="35">
        <f t="shared" si="6"/>
        <v>22.36067977</v>
      </c>
      <c r="F41" s="47">
        <f t="shared" si="7"/>
        <v>22.36067977</v>
      </c>
    </row>
    <row r="42" ht="12.75" customHeight="1">
      <c r="A42" s="46" t="s">
        <v>37</v>
      </c>
      <c r="B42" s="35" t="s">
        <v>41</v>
      </c>
      <c r="C42" s="35" t="s">
        <v>15</v>
      </c>
      <c r="D42" s="35">
        <v>1.0</v>
      </c>
      <c r="E42" s="35">
        <f t="shared" si="6"/>
        <v>22.36067977</v>
      </c>
      <c r="F42" s="47">
        <f t="shared" si="7"/>
        <v>22.36067977</v>
      </c>
    </row>
    <row r="43" ht="12.75" customHeight="1">
      <c r="A43" s="46" t="s">
        <v>37</v>
      </c>
      <c r="B43" s="35" t="s">
        <v>42</v>
      </c>
      <c r="C43" s="35" t="s">
        <v>15</v>
      </c>
      <c r="D43" s="35">
        <v>1.0</v>
      </c>
      <c r="E43" s="35">
        <f t="shared" si="6"/>
        <v>22.36067977</v>
      </c>
      <c r="F43" s="47">
        <f t="shared" si="7"/>
        <v>22.36067977</v>
      </c>
    </row>
    <row r="44" ht="12.75" customHeight="1">
      <c r="A44" s="46" t="s">
        <v>37</v>
      </c>
      <c r="B44" s="35" t="s">
        <v>43</v>
      </c>
      <c r="C44" s="35" t="s">
        <v>15</v>
      </c>
      <c r="D44" s="35">
        <v>1.0</v>
      </c>
      <c r="E44" s="35">
        <f t="shared" si="6"/>
        <v>22.36067977</v>
      </c>
      <c r="F44" s="47">
        <f t="shared" si="7"/>
        <v>22.36067977</v>
      </c>
    </row>
    <row r="45" ht="12.75" customHeight="1">
      <c r="A45" s="46" t="s">
        <v>37</v>
      </c>
      <c r="B45" s="35" t="s">
        <v>44</v>
      </c>
      <c r="C45" s="35" t="s">
        <v>15</v>
      </c>
      <c r="D45" s="35">
        <v>1.0</v>
      </c>
      <c r="E45" s="35">
        <f t="shared" si="6"/>
        <v>22.36067977</v>
      </c>
      <c r="F45" s="47">
        <f t="shared" si="7"/>
        <v>22.36067977</v>
      </c>
    </row>
    <row r="46" ht="12.75" customHeight="1">
      <c r="A46" s="46" t="s">
        <v>37</v>
      </c>
      <c r="B46" s="35" t="s">
        <v>45</v>
      </c>
      <c r="C46" s="35" t="s">
        <v>14</v>
      </c>
      <c r="D46" s="35">
        <v>1.0</v>
      </c>
      <c r="E46" s="35">
        <f t="shared" ref="E46:E47" si="8">B8</f>
        <v>14.95348781</v>
      </c>
      <c r="F46" s="47">
        <f t="shared" si="7"/>
        <v>14.95348781</v>
      </c>
    </row>
    <row r="47" ht="12.75" customHeight="1">
      <c r="A47" s="46" t="s">
        <v>46</v>
      </c>
      <c r="B47" s="35" t="s">
        <v>47</v>
      </c>
      <c r="C47" s="35" t="s">
        <v>15</v>
      </c>
      <c r="D47" s="35">
        <v>1.0</v>
      </c>
      <c r="E47" s="35">
        <f t="shared" si="8"/>
        <v>22.36067977</v>
      </c>
      <c r="F47" s="47">
        <f t="shared" si="7"/>
        <v>22.36067977</v>
      </c>
    </row>
    <row r="48" ht="12.75" customHeight="1">
      <c r="A48" s="46" t="s">
        <v>46</v>
      </c>
      <c r="B48" s="35" t="s">
        <v>48</v>
      </c>
      <c r="C48" s="35" t="s">
        <v>15</v>
      </c>
      <c r="D48" s="35">
        <v>1.0</v>
      </c>
      <c r="E48" s="35">
        <f>B9</f>
        <v>22.36067977</v>
      </c>
      <c r="F48" s="47">
        <f t="shared" si="7"/>
        <v>22.36067977</v>
      </c>
    </row>
    <row r="49" ht="12.75" customHeight="1">
      <c r="A49" s="46"/>
      <c r="B49" s="35"/>
      <c r="C49" s="35"/>
      <c r="D49" s="35">
        <v>1.0</v>
      </c>
      <c r="E49" s="35"/>
      <c r="F49" s="47">
        <f t="shared" si="7"/>
        <v>0</v>
      </c>
    </row>
    <row r="50" ht="13.5" customHeight="1">
      <c r="A50" s="19"/>
      <c r="B50" s="39"/>
      <c r="C50" s="39"/>
      <c r="D50" s="39"/>
      <c r="E50" s="40" t="s">
        <v>49</v>
      </c>
      <c r="F50" s="41">
        <f>SUM(F39:F49)</f>
        <v>216.1996058</v>
      </c>
    </row>
    <row r="51" ht="12.75" customHeight="1"/>
    <row r="52" ht="13.5" customHeight="1"/>
    <row r="53" ht="13.5" customHeight="1">
      <c r="E53" s="48" t="s">
        <v>50</v>
      </c>
      <c r="F53" s="49">
        <f>F50+F34+F28</f>
        <v>295.7228339</v>
      </c>
    </row>
    <row r="54" ht="12.75" customHeight="1"/>
    <row r="55" ht="12.75" customHeight="1">
      <c r="G55" s="50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3:B3"/>
    <mergeCell ref="A23:B23"/>
    <mergeCell ref="A30:B30"/>
    <mergeCell ref="A36:B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2006-10-14T21:26:37Z</dcterms:created>
  <dc:creator>adsoft</dc:creator>
</cp:coreProperties>
</file>